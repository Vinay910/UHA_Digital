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2" windowWidth="20112" windowHeight="7992" tabRatio="588"/>
  </bookViews>
  <sheets>
    <sheet name="DB_CONFIG" sheetId="19" r:id="rId1"/>
    <sheet name="InputData" sheetId="7" r:id="rId2"/>
    <sheet name="Browser_Configuration" sheetId="12" r:id="rId3"/>
  </sheets>
  <definedNames>
    <definedName name="cancel" localSheetId="1">InputData!#REF!</definedName>
    <definedName name="chromeversions" localSheetId="2">Browser_Configuration!$L$8:$L$14</definedName>
    <definedName name="DBConect_Enrollment">DB_CONFIG!$B$17:$G$17</definedName>
    <definedName name="DBConnect_RiskAndAssistance">DB_CONFIG!$B$22:$G$22</definedName>
    <definedName name="firefoxversions" localSheetId="2">Browser_Configuration!$M$8:$M$14</definedName>
    <definedName name="getBrowserDetails" localSheetId="2">Browser_Configuration!$C$15:$F$25</definedName>
    <definedName name="getExecutionPlatform" localSheetId="2">Browser_Configuration!$C$12:$F$12</definedName>
    <definedName name="Industry87">InputData!#REF!</definedName>
    <definedName name="Internetexplorerversions">Browser_Configuration!$K$8:$K$14</definedName>
    <definedName name="login" localSheetId="1">InputData!$A$4:$C$4</definedName>
    <definedName name="NA">Browser_Configuration!$J$9</definedName>
    <definedName name="TC_01" localSheetId="1">InputData!#REF!</definedName>
    <definedName name="TC_02">InputData!#REF!</definedName>
    <definedName name="TC_03" localSheetId="1">InputData!#REF!</definedName>
    <definedName name="TC_04" localSheetId="1">InputData!#REF!</definedName>
    <definedName name="TC_05">InputData!#REF!</definedName>
    <definedName name="TC_06">InputData!#REF!</definedName>
    <definedName name="TC_07">InputData!#REF!</definedName>
    <definedName name="TC_255814">InputData!$A$12:$B$12</definedName>
    <definedName name="TC_255817">InputData!$A$16:$B$16</definedName>
    <definedName name="TC_255876">InputData!$A$48:$B$48</definedName>
    <definedName name="TC_255876_1">InputData!$A$56:$B$56</definedName>
    <definedName name="TC_255876_2">InputData!$A$60:$B$60</definedName>
    <definedName name="TC_255876_3">InputData!$A$64:$B$64</definedName>
    <definedName name="TC_255877">InputData!$A$68:$B$68</definedName>
    <definedName name="TC_255877_1">InputData!$A$72:$B$72</definedName>
    <definedName name="TC_255877_2">InputData!$A$76:$B$76</definedName>
    <definedName name="TC_255877_3">InputData!$A$80:$B$80</definedName>
    <definedName name="TC_255878">InputData!$A$84:$B$84</definedName>
    <definedName name="TC_255879">InputData!$A$20:$B$20</definedName>
    <definedName name="TC_255880">InputData!$A$28:$B$28</definedName>
    <definedName name="TC_255885">InputData!$A$88:$B$88</definedName>
    <definedName name="TC_255885_1">InputData!$A$92:$B$92</definedName>
    <definedName name="TC_255885_2">InputData!$A$96:$B$96</definedName>
    <definedName name="TC_255885_3">InputData!$A$100:$B$100</definedName>
    <definedName name="TC_255891">InputData!$A$24:$B$24</definedName>
    <definedName name="TC_255892">InputData!$A$32:$B$32</definedName>
    <definedName name="TC_94824">InputData!$A$8:$B$8</definedName>
    <definedName name="TC_94896">InputData!$A$52:$B$52</definedName>
    <definedName name="TC_94896_1">InputData!$A$36:$B$36</definedName>
    <definedName name="TC_94896_2">InputData!$A$40:$B$40</definedName>
    <definedName name="TC_94896_3">InputData!$A$44:$B$44</definedName>
    <definedName name="TestExecution_Details">DB_CONFIG!$B$3:$C$3</definedName>
    <definedName name="verifyEnrollmentDetails_test" localSheetId="1">InputData!#REF!</definedName>
  </definedNames>
  <calcPr calcId="145621"/>
</workbook>
</file>

<file path=xl/calcChain.xml><?xml version="1.0" encoding="utf-8"?>
<calcChain xmlns="http://schemas.openxmlformats.org/spreadsheetml/2006/main">
  <c r="F17" i="19" l="1"/>
  <c r="E17" i="19"/>
  <c r="E22" i="19"/>
  <c r="F22" i="19"/>
  <c r="B22" i="19"/>
  <c r="C22" i="19"/>
  <c r="C17" i="19"/>
  <c r="B17" i="19"/>
  <c r="D22" i="19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<sst xmlns="http://schemas.openxmlformats.org/spreadsheetml/2006/main" count="258" uniqueCount="112">
  <si>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</si>
  <si>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</si>
  <si>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</si>
  <si>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</si>
  <si>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</si>
  <si>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</si>
  <si>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</si>
  <si>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</si>
  <si>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</si>
  <si>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</si>
  <si>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</si>
  <si>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</si>
  <si>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</si>
  <si>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DBserverName</t>
  </si>
  <si>
    <t>DBName</t>
  </si>
  <si>
    <t>dbset0265.ms.ds.uhc.com</t>
  </si>
  <si>
    <t>Enrollment_DB</t>
  </si>
  <si>
    <t>STAGE</t>
  </si>
  <si>
    <t>PROD</t>
  </si>
  <si>
    <t>SQL Authentication</t>
  </si>
  <si>
    <t>N/A</t>
  </si>
  <si>
    <t>No</t>
  </si>
  <si>
    <t>Execution On</t>
  </si>
  <si>
    <t>Browser Version</t>
  </si>
  <si>
    <t>Opereating System</t>
  </si>
  <si>
    <t>Sauce Lab Cloud</t>
  </si>
  <si>
    <t>Internet Explorer</t>
  </si>
  <si>
    <t>Chrome</t>
  </si>
  <si>
    <t>Firefox</t>
  </si>
  <si>
    <t>b</t>
  </si>
  <si>
    <t>c</t>
  </si>
  <si>
    <t>a1</t>
  </si>
  <si>
    <t>a2</t>
  </si>
  <si>
    <t>a3</t>
  </si>
  <si>
    <t>q2</t>
  </si>
  <si>
    <t>q3</t>
  </si>
  <si>
    <t>Sauce User Name</t>
  </si>
  <si>
    <t>Sauce AccessKey</t>
  </si>
  <si>
    <t>Windows</t>
  </si>
  <si>
    <t>49</t>
  </si>
  <si>
    <t>dbses1614.dmzmgmt.uhc.com</t>
  </si>
  <si>
    <t>ProcessingContext</t>
  </si>
  <si>
    <t>QA_Safetrip_User</t>
  </si>
  <si>
    <t>URL</t>
  </si>
  <si>
    <t>DB SetUp_Concourse</t>
  </si>
  <si>
    <t>DB SetUp_R&amp;A</t>
  </si>
  <si>
    <t>dbset0579.ms.ds.uhc.com</t>
  </si>
  <si>
    <t>dbses0445.ms.ds.uhc.com</t>
  </si>
  <si>
    <t>Enrollment_DBserverName</t>
  </si>
  <si>
    <t>Enrollment_DB Name</t>
  </si>
  <si>
    <t>Enrollment_DB_USERNAME</t>
  </si>
  <si>
    <t>Enrollment_DB_PASSWORD</t>
  </si>
  <si>
    <t>R&amp;A_DB_USERNAME</t>
  </si>
  <si>
    <t>R&amp;A_DB_PASSWORD</t>
  </si>
  <si>
    <t>Env_URL</t>
  </si>
  <si>
    <t>login</t>
  </si>
  <si>
    <t>nanilkum</t>
  </si>
  <si>
    <t>https://test-intranethygeia.uhc.com/cms3/apps/UHAPortal/HomePage/Default.aspx</t>
  </si>
  <si>
    <t>TC_94824</t>
  </si>
  <si>
    <t>claimId</t>
  </si>
  <si>
    <t>TC_255814</t>
  </si>
  <si>
    <t>TC_255817</t>
  </si>
  <si>
    <t>Give any fecelity claim or Professional claimID from Missing claim Image Queue</t>
  </si>
  <si>
    <t>Give professional  claimID from Missing claim Image Queue</t>
  </si>
  <si>
    <t>Give Facility claimID from Missing claim Image Queue</t>
  </si>
  <si>
    <t>TC_255879</t>
  </si>
  <si>
    <t>Give any Facility claim in Manual Key Claims sub queue</t>
  </si>
  <si>
    <t>Give any Professional claim in Manual Key Claims sub queue</t>
  </si>
  <si>
    <t>TC_255891</t>
  </si>
  <si>
    <t>TC_255880</t>
  </si>
  <si>
    <t>Give any Facility claim in Complex Claims sub queue</t>
  </si>
  <si>
    <t>TC_255892</t>
  </si>
  <si>
    <t>Give any Professional claim in Complex Claims sub queue</t>
  </si>
  <si>
    <t>TC_94896_1</t>
  </si>
  <si>
    <t>Give any Facility claim in Potential Duplicate sub queue having only one claim line item</t>
  </si>
  <si>
    <t>TC_94896_2</t>
  </si>
  <si>
    <t>3059234/Facility</t>
  </si>
  <si>
    <t>3055799/Facility</t>
  </si>
  <si>
    <t>Give any Facility claim in Potential Duplicate sub queue having only one claim line item (Payer UHA -TB**** )</t>
  </si>
  <si>
    <t>View refarmatted claim and View work bench buttons should be validated manually (Script need maintenance )</t>
  </si>
  <si>
    <t>TC_94896_3</t>
  </si>
  <si>
    <t>TC_255876</t>
  </si>
  <si>
    <t>Provide any facility claim Id from Manual Key queue from Potential claims screen , claim should have only one claim line item</t>
  </si>
  <si>
    <t>Provide any facility claim Id from Potential Duplicate Queue from Potential claims screen , claim should have only one claim line item</t>
  </si>
  <si>
    <t>TC_94896</t>
  </si>
  <si>
    <t>TC_255876_1</t>
  </si>
  <si>
    <t>3058484/Facility</t>
  </si>
  <si>
    <t>TC_255876_2</t>
  </si>
  <si>
    <t>3059708/Facility</t>
  </si>
  <si>
    <t>Give any Facility/Professional Claim having multiple claim line items and should have atleast one duplicate claim in the grid</t>
  </si>
  <si>
    <t>TC_255876_3</t>
  </si>
  <si>
    <t>TC_255877</t>
  </si>
  <si>
    <t>TC_255877_1</t>
  </si>
  <si>
    <t>3054951/Facility</t>
  </si>
  <si>
    <t>TC_255877_2</t>
  </si>
  <si>
    <t>3055052/Facility</t>
  </si>
  <si>
    <t>TC_255877_3</t>
  </si>
  <si>
    <t>Give any Facility claim inPotential Duplicate sub queue</t>
  </si>
  <si>
    <t>TC_255878</t>
  </si>
  <si>
    <t>Duplicate test Case no need to execute</t>
  </si>
  <si>
    <t>TC_255885</t>
  </si>
  <si>
    <t>TC_255885_1</t>
  </si>
  <si>
    <t>TC_255885_2</t>
  </si>
  <si>
    <t>TC_255885_3</t>
  </si>
  <si>
    <t>Provide any Professional claim Id from Manual key claims queue from Potential claims screen , claim should have only one claim line item</t>
  </si>
  <si>
    <t>Give any Professional claim inManual key claims  sub queue having only one claim line item</t>
  </si>
  <si>
    <t>Give any Professional claim in Manual key claims  sub queue having only one claim line item (Payer UHA -TB**** )</t>
  </si>
  <si>
    <t>Give any Facility Claim having multiple claim line items and should have atleast one duplicate claim in the grid</t>
  </si>
  <si>
    <t>3055795/Professional</t>
  </si>
  <si>
    <t>3050616/Professional</t>
  </si>
  <si>
    <t>https://stage-uhaportalgateway-net-dmzmgmt.uhc.com/portal/login/login.aspx</t>
  </si>
  <si>
    <t>http://tst-uhcg-portalgateway.uhc.com/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</si>
</sst>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0" xfId="0" applyFill="1"/>
    <xf numFmtId="0" fontId="0" fillId="4" borderId="1" xfId="0" applyFill="1" applyBorder="1"/>
    <xf numFmtId="0" fontId="0" fillId="7" borderId="1" xfId="0" applyFill="1" applyBorder="1" applyAlignment="1">
      <alignment wrapText="1"/>
    </xf>
    <xf numFmtId="0" fontId="0" fillId="7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5" borderId="0" xfId="0" applyFill="1" applyBorder="1"/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4" fillId="9" borderId="2" xfId="0" applyFont="1" applyFill="1" applyBorder="1" applyAlignment="1"/>
    <xf numFmtId="0" fontId="4" fillId="9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10" borderId="1" xfId="0" applyFill="1" applyBorder="1"/>
    <xf numFmtId="0" fontId="0" fillId="4" borderId="1" xfId="0" applyFont="1" applyFill="1" applyBorder="1" applyAlignment="1">
      <alignment horizontal="center" vertical="center"/>
    </xf>
    <xf numFmtId="0" fontId="3" fillId="0" borderId="1" xfId="2" applyBorder="1"/>
    <xf numFmtId="0" fontId="0" fillId="0" borderId="0" xfId="0" applyBorder="1"/>
    <xf numFmtId="49" fontId="0" fillId="0" borderId="0" xfId="0" applyNumberFormat="1" applyBorder="1"/>
    <xf numFmtId="0" fontId="0" fillId="4" borderId="0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0" fontId="3" fillId="0" borderId="0" xfId="2" applyAlignment="1">
      <alignment vertical="center"/>
    </xf>
    <xf numFmtId="0" fontId="3" fillId="11" borderId="1" xfId="2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ge-uhaportalgateway-net-dmzmgmt.uhc.com/portal/login/login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32"/>
  <sheetViews>
    <sheetView tabSelected="1" workbookViewId="0">
      <selection activeCell="B3" sqref="B3"/>
    </sheetView>
  </sheetViews>
  <sheetFormatPr defaultColWidth="9.109375" defaultRowHeight="14.4" x14ac:dyDescent="0.3"/>
  <cols>
    <col min="1" max="1" width="8.6640625" style="2" customWidth="1" collapsed="1"/>
    <col min="2" max="2" width="27.109375" style="2" customWidth="1" collapsed="1"/>
    <col min="3" max="3" width="41.5546875" style="2" customWidth="1" collapsed="1"/>
    <col min="4" max="4" width="26.109375" style="2" customWidth="1" collapsed="1"/>
    <col min="5" max="5" width="24.44140625" style="2" customWidth="1" collapsed="1"/>
    <col min="6" max="6" width="15.109375" style="2" customWidth="1" collapsed="1"/>
    <col min="7" max="7" width="27.5546875" style="2" customWidth="1" collapsed="1"/>
    <col min="8" max="8" width="20.5546875" style="2" customWidth="1"/>
    <col min="9" max="9" width="26.44140625" style="2" customWidth="1" collapsed="1"/>
    <col min="10" max="10" width="25.44140625" style="2" customWidth="1" collapsed="1"/>
    <col min="11" max="11" width="21.109375" style="2" customWidth="1" collapsed="1"/>
    <col min="12" max="12" width="15.109375" style="2" customWidth="1" collapsed="1"/>
    <col min="13" max="16384" width="9.109375" style="2"/>
  </cols>
  <sheetData>
    <row r="2" spans="2:10" ht="15" x14ac:dyDescent="0.25">
      <c r="B2" s="18" t="s">
        <v>5</v>
      </c>
      <c r="C2" s="18" t="s">
        <v>43</v>
      </c>
    </row>
    <row r="3" spans="2:10" ht="15" x14ac:dyDescent="0.25">
      <c r="B3" s="16" t="s">
        <v>11</v>
      </c>
      <c r="C3" s="25" t="s">
        <v>111</v>
      </c>
    </row>
    <row r="5" spans="2:10" ht="15" x14ac:dyDescent="0.25">
      <c r="B5" s="17" t="s">
        <v>5</v>
      </c>
      <c r="C5" s="17" t="s">
        <v>54</v>
      </c>
    </row>
    <row r="6" spans="2:10" x14ac:dyDescent="0.3">
      <c r="B6" s="1" t="s">
        <v>11</v>
      </c>
      <c r="C6" s="19" t="s">
        <v>57</v>
      </c>
    </row>
    <row r="7" spans="2:10" x14ac:dyDescent="0.3">
      <c r="B7" s="1" t="s">
        <v>17</v>
      </c>
      <c r="C7" s="26" t="s">
        <v>110</v>
      </c>
    </row>
    <row r="8" spans="2:10" ht="15" x14ac:dyDescent="0.25">
      <c r="B8" s="1" t="s">
        <v>18</v>
      </c>
      <c r="C8" s="19"/>
    </row>
    <row r="10" spans="2:10" ht="15" x14ac:dyDescent="0.25">
      <c r="B10" s="17" t="s">
        <v>5</v>
      </c>
      <c r="C10" s="17" t="s">
        <v>48</v>
      </c>
      <c r="D10" s="17" t="s">
        <v>49</v>
      </c>
      <c r="E10" s="17" t="s">
        <v>50</v>
      </c>
      <c r="F10" s="17" t="s">
        <v>51</v>
      </c>
      <c r="G10" s="17" t="s">
        <v>13</v>
      </c>
      <c r="H10" s="17" t="s">
        <v>14</v>
      </c>
      <c r="I10" s="17" t="s">
        <v>52</v>
      </c>
      <c r="J10" s="17" t="s">
        <v>53</v>
      </c>
    </row>
    <row r="11" spans="2:10" ht="15" x14ac:dyDescent="0.25">
      <c r="B11" s="1" t="s">
        <v>11</v>
      </c>
      <c r="C11" s="1" t="s">
        <v>15</v>
      </c>
      <c r="D11" s="1" t="s">
        <v>16</v>
      </c>
      <c r="E11" s="1" t="s">
        <v>20</v>
      </c>
      <c r="F11" s="1" t="s">
        <v>20</v>
      </c>
      <c r="G11" s="1" t="s">
        <v>46</v>
      </c>
      <c r="H11" s="1" t="s">
        <v>41</v>
      </c>
      <c r="I11" s="1" t="s">
        <v>20</v>
      </c>
      <c r="J11" s="1" t="s">
        <v>20</v>
      </c>
    </row>
    <row r="12" spans="2:10" ht="15" x14ac:dyDescent="0.25">
      <c r="B12" s="1" t="s">
        <v>17</v>
      </c>
      <c r="C12" s="1" t="s">
        <v>47</v>
      </c>
      <c r="D12" s="1" t="s">
        <v>16</v>
      </c>
      <c r="E12" s="1" t="s">
        <v>20</v>
      </c>
      <c r="F12" s="1" t="s">
        <v>20</v>
      </c>
      <c r="G12" s="1" t="s">
        <v>40</v>
      </c>
      <c r="H12" s="1" t="s">
        <v>41</v>
      </c>
      <c r="I12" s="1" t="s">
        <v>42</v>
      </c>
      <c r="J12" s="1" t="s">
        <v>42</v>
      </c>
    </row>
    <row r="13" spans="2:10" ht="15" x14ac:dyDescent="0.25">
      <c r="B13" s="1" t="s">
        <v>18</v>
      </c>
      <c r="C13" s="1" t="s">
        <v>20</v>
      </c>
      <c r="D13" s="1" t="s">
        <v>20</v>
      </c>
      <c r="E13" s="1" t="s">
        <v>20</v>
      </c>
      <c r="F13" s="1" t="s">
        <v>20</v>
      </c>
      <c r="G13" s="1" t="s">
        <v>20</v>
      </c>
      <c r="H13" s="1" t="s">
        <v>20</v>
      </c>
      <c r="I13" s="1" t="s">
        <v>20</v>
      </c>
      <c r="J13" s="1" t="s">
        <v>20</v>
      </c>
    </row>
    <row r="15" spans="2:10" x14ac:dyDescent="0.3">
      <c r="B15" s="14" t="s">
        <v>44</v>
      </c>
      <c r="C15" s="15"/>
    </row>
    <row r="16" spans="2:10" x14ac:dyDescent="0.3">
      <c r="B16" s="11" t="s">
        <v>6</v>
      </c>
      <c r="C16" s="11" t="s">
        <v>7</v>
      </c>
      <c r="D16" s="11" t="s">
        <v>8</v>
      </c>
      <c r="E16" s="11" t="s">
        <v>9</v>
      </c>
      <c r="F16" s="11" t="s">
        <v>0</v>
      </c>
      <c r="G16" s="11" t="s">
        <v>10</v>
      </c>
    </row>
    <row r="17" spans="2:7" x14ac:dyDescent="0.3">
      <c r="B17" s="12" t="str">
        <f>VLOOKUP(B3,B10:J13,2,)</f>
        <v>dbset0265.ms.ds.uhc.com</v>
      </c>
      <c r="C17" s="12" t="str">
        <f>VLOOKUP(B3,B10:J13,3,)</f>
        <v>Enrollment_DB</v>
      </c>
      <c r="D17" s="12" t="s">
        <v>12</v>
      </c>
      <c r="E17" s="12" t="str">
        <f>VLOOKUP(B3,B10:J13,4,)</f>
        <v>N/A</v>
      </c>
      <c r="F17" s="12" t="str">
        <f>VLOOKUP(B3,B10:J13,5,)</f>
        <v>N/A</v>
      </c>
      <c r="G17" s="12" t="s">
        <v>3</v>
      </c>
    </row>
    <row r="20" spans="2:7" x14ac:dyDescent="0.3">
      <c r="B20" s="14" t="s">
        <v>45</v>
      </c>
      <c r="C20" s="15"/>
    </row>
    <row r="21" spans="2:7" x14ac:dyDescent="0.3">
      <c r="B21" s="11" t="s">
        <v>6</v>
      </c>
      <c r="C21" s="11" t="s">
        <v>7</v>
      </c>
      <c r="D21" s="11" t="s">
        <v>8</v>
      </c>
      <c r="E21" s="11" t="s">
        <v>9</v>
      </c>
      <c r="F21" s="11" t="s">
        <v>0</v>
      </c>
      <c r="G21" s="11" t="s">
        <v>10</v>
      </c>
    </row>
    <row r="22" spans="2:7" x14ac:dyDescent="0.3">
      <c r="B22" s="12" t="str">
        <f>VLOOKUP(B3,B10:J13,6,)</f>
        <v>dbset0579.ms.ds.uhc.com</v>
      </c>
      <c r="C22" s="12" t="str">
        <f>VLOOKUP(B3,B10:J13,7,)</f>
        <v>ProcessingContext</v>
      </c>
      <c r="D22" s="1" t="str">
        <f>IF(B3="TEST","Windows Authentication","SQL Authentication")</f>
        <v>Windows Authentication</v>
      </c>
      <c r="E22" s="12" t="str">
        <f>VLOOKUP(B3,B10:J13,8,)</f>
        <v>N/A</v>
      </c>
      <c r="F22" s="12" t="str">
        <f>VLOOKUP(B3,B10:J13,9,)</f>
        <v>N/A</v>
      </c>
      <c r="G22" s="13" t="s">
        <v>3</v>
      </c>
    </row>
    <row r="31" spans="2:7" x14ac:dyDescent="0.3">
      <c r="E31" s="2" t="s">
        <v>12</v>
      </c>
    </row>
    <row r="32" spans="2:7" x14ac:dyDescent="0.3">
      <c r="E32" s="2" t="s">
        <v>19</v>
      </c>
    </row>
  </sheetData>
  <dataValidations count="2">
    <dataValidation type="list" allowBlank="1" showInputMessage="1" showErrorMessage="1" sqref="G17 G22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7" r:id="rId1"/>
  </hyperlinks>
  <pageMargins left="0.7" right="0.7" top="0.75" bottom="0.75" header="0.3" footer="0.3"/>
  <pageSetup orientation="portrait" horizontalDpi="90" verticalDpi="9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00"/>
  <sheetViews>
    <sheetView topLeftCell="A79" zoomScaleNormal="100" workbookViewId="0">
      <selection activeCell="A100" sqref="A100"/>
    </sheetView>
  </sheetViews>
  <sheetFormatPr defaultRowHeight="14.4" x14ac:dyDescent="0.3"/>
  <cols>
    <col min="1" max="1" width="38.109375" customWidth="1" collapsed="1"/>
    <col min="2" max="2" width="22.5546875" style="2" customWidth="1" collapsed="1"/>
    <col min="3" max="3" width="116.33203125" customWidth="1" collapsed="1"/>
    <col min="4" max="4" width="26.88671875" style="2" customWidth="1"/>
    <col min="5" max="5" width="22.33203125" customWidth="1" collapsed="1"/>
    <col min="6" max="6" width="27.88671875" customWidth="1" collapsed="1"/>
    <col min="7" max="7" width="18.33203125" style="2" customWidth="1" collapsed="1"/>
    <col min="8" max="8" width="34.6640625" style="2" customWidth="1" collapsed="1"/>
    <col min="9" max="9" width="13.88671875" style="2" customWidth="1" collapsed="1"/>
    <col min="10" max="10" width="13" style="2" customWidth="1" collapsed="1"/>
    <col min="11" max="11" width="19.88671875" style="2" customWidth="1" collapsed="1"/>
    <col min="12" max="12" width="19" style="2" customWidth="1" collapsed="1"/>
    <col min="13" max="13" width="22" customWidth="1" collapsed="1"/>
    <col min="14" max="14" width="31.5546875" bestFit="1" customWidth="1" collapsed="1"/>
    <col min="15" max="15" width="32.109375" bestFit="1" customWidth="1" collapsed="1"/>
    <col min="16" max="16" width="34.5546875" bestFit="1" customWidth="1" collapsed="1"/>
    <col min="17" max="17" width="42.6640625" bestFit="1" customWidth="1" collapsed="1"/>
    <col min="18" max="18" width="40.88671875" bestFit="1" customWidth="1" collapsed="1"/>
    <col min="19" max="19" width="35.33203125" bestFit="1" customWidth="1" collapsed="1"/>
    <col min="20" max="20" width="41" bestFit="1" customWidth="1" collapsed="1"/>
    <col min="21" max="21" width="30.88671875" bestFit="1" customWidth="1" collapsed="1"/>
    <col min="22" max="22" width="30" bestFit="1" customWidth="1" collapsed="1"/>
    <col min="23" max="23" width="24.5546875" customWidth="1" collapsed="1"/>
    <col min="24" max="24" width="31" customWidth="1" collapsed="1"/>
    <col min="25" max="25" width="29.88671875" customWidth="1" collapsed="1"/>
    <col min="26" max="26" width="23.109375" customWidth="1" collapsed="1"/>
    <col min="27" max="27" width="23.44140625" customWidth="1" collapsed="1"/>
    <col min="28" max="28" width="22.33203125" customWidth="1" collapsed="1"/>
    <col min="29" max="29" width="23" customWidth="1" collapsed="1"/>
    <col min="30" max="30" width="44.109375" bestFit="1" customWidth="1" collapsed="1"/>
    <col min="31" max="33" width="38.5546875" bestFit="1" customWidth="1" collapsed="1"/>
    <col min="34" max="34" width="40.33203125" bestFit="1" customWidth="1" collapsed="1"/>
    <col min="35" max="36" width="31" bestFit="1" customWidth="1" collapsed="1"/>
    <col min="37" max="37" width="22" bestFit="1" customWidth="1" collapsed="1"/>
    <col min="38" max="38" width="22.6640625" bestFit="1" customWidth="1" collapsed="1"/>
    <col min="39" max="39" width="39.44140625" bestFit="1" customWidth="1" collapsed="1"/>
    <col min="40" max="40" width="33.88671875" bestFit="1" customWidth="1" collapsed="1"/>
    <col min="41" max="41" width="39.5546875" bestFit="1" customWidth="1" collapsed="1"/>
    <col min="42" max="42" width="27.44140625" bestFit="1" customWidth="1" collapsed="1"/>
    <col min="43" max="43" width="28.109375" bestFit="1" customWidth="1" collapsed="1"/>
    <col min="44" max="44" width="35" bestFit="1" customWidth="1" collapsed="1"/>
    <col min="45" max="45" width="45.5546875" bestFit="1" customWidth="1" collapsed="1"/>
    <col min="46" max="46" width="43.5546875" bestFit="1" customWidth="1" collapsed="1"/>
    <col min="47" max="47" width="56.33203125" bestFit="1" customWidth="1" collapsed="1"/>
    <col min="48" max="48" width="55.5546875" bestFit="1" customWidth="1" collapsed="1"/>
    <col min="49" max="49" width="35.109375" bestFit="1" customWidth="1" collapsed="1"/>
    <col min="50" max="50" width="35.33203125" bestFit="1" customWidth="1" collapsed="1"/>
  </cols>
  <sheetData>
    <row r="1" spans="1:5" s="2" customFormat="1" x14ac:dyDescent="0.3">
      <c r="A1" s="27" t="s">
        <v>2</v>
      </c>
      <c r="B1" s="27"/>
      <c r="C1" s="27"/>
      <c r="D1" s="27"/>
      <c r="E1" s="27"/>
    </row>
    <row r="2" spans="1:5" x14ac:dyDescent="0.3">
      <c r="A2" s="4" t="s">
        <v>55</v>
      </c>
      <c r="C2" s="2"/>
    </row>
    <row r="3" spans="1:5" x14ac:dyDescent="0.3">
      <c r="A3" s="5" t="s">
        <v>9</v>
      </c>
      <c r="B3" s="5" t="s">
        <v>0</v>
      </c>
      <c r="C3" s="5" t="s">
        <v>1</v>
      </c>
      <c r="D3" s="22"/>
    </row>
    <row r="4" spans="1:5" x14ac:dyDescent="0.3">
      <c r="A4" s="1" t="s">
        <v>56</v>
      </c>
      <c r="B4" s="1"/>
      <c r="C4" s="3" t="s">
        <v>3</v>
      </c>
      <c r="D4" s="21"/>
    </row>
    <row r="5" spans="1:5" s="2" customFormat="1" x14ac:dyDescent="0.3">
      <c r="A5" s="20"/>
      <c r="B5" s="20"/>
      <c r="C5" s="21"/>
      <c r="D5" s="21"/>
    </row>
    <row r="6" spans="1:5" x14ac:dyDescent="0.3">
      <c r="A6" s="4" t="s">
        <v>58</v>
      </c>
    </row>
    <row r="7" spans="1:5" x14ac:dyDescent="0.3">
      <c r="A7" s="5" t="s">
        <v>59</v>
      </c>
      <c r="B7" s="5" t="s">
        <v>1</v>
      </c>
    </row>
    <row r="8" spans="1:5" x14ac:dyDescent="0.3">
      <c r="A8" s="23">
        <v>3060183</v>
      </c>
      <c r="B8" s="3" t="s">
        <v>3</v>
      </c>
      <c r="C8" s="2" t="s">
        <v>64</v>
      </c>
    </row>
    <row r="10" spans="1:5" x14ac:dyDescent="0.3">
      <c r="A10" s="4" t="s">
        <v>60</v>
      </c>
    </row>
    <row r="11" spans="1:5" x14ac:dyDescent="0.3">
      <c r="A11" s="5" t="s">
        <v>59</v>
      </c>
      <c r="B11" s="5" t="s">
        <v>1</v>
      </c>
    </row>
    <row r="12" spans="1:5" x14ac:dyDescent="0.3">
      <c r="A12" s="23">
        <v>3060159</v>
      </c>
      <c r="B12" s="3" t="s">
        <v>3</v>
      </c>
      <c r="C12" t="s">
        <v>63</v>
      </c>
    </row>
    <row r="14" spans="1:5" x14ac:dyDescent="0.3">
      <c r="A14" s="4" t="s">
        <v>61</v>
      </c>
    </row>
    <row r="15" spans="1:5" x14ac:dyDescent="0.3">
      <c r="A15" s="5" t="s">
        <v>59</v>
      </c>
      <c r="B15" s="5" t="s">
        <v>1</v>
      </c>
    </row>
    <row r="16" spans="1:5" x14ac:dyDescent="0.3">
      <c r="A16" s="23">
        <v>3060161</v>
      </c>
      <c r="B16" s="3" t="s">
        <v>3</v>
      </c>
      <c r="C16" t="s">
        <v>62</v>
      </c>
    </row>
    <row r="18" spans="1:4" x14ac:dyDescent="0.3">
      <c r="A18" s="4" t="s">
        <v>65</v>
      </c>
    </row>
    <row r="19" spans="1:4" x14ac:dyDescent="0.3">
      <c r="A19" s="5" t="s">
        <v>59</v>
      </c>
      <c r="B19" s="5" t="s">
        <v>1</v>
      </c>
    </row>
    <row r="20" spans="1:4" x14ac:dyDescent="0.3">
      <c r="A20" s="23">
        <v>3058484</v>
      </c>
      <c r="B20" s="3" t="s">
        <v>3</v>
      </c>
      <c r="C20" t="s">
        <v>66</v>
      </c>
    </row>
    <row r="22" spans="1:4" x14ac:dyDescent="0.3">
      <c r="A22" s="4" t="s">
        <v>68</v>
      </c>
      <c r="C22" s="2"/>
    </row>
    <row r="23" spans="1:4" x14ac:dyDescent="0.3">
      <c r="A23" s="5" t="s">
        <v>59</v>
      </c>
      <c r="B23" s="5" t="s">
        <v>1</v>
      </c>
      <c r="C23" s="2"/>
    </row>
    <row r="24" spans="1:4" x14ac:dyDescent="0.3">
      <c r="A24" s="23">
        <v>3058484</v>
      </c>
      <c r="B24" s="3" t="s">
        <v>3</v>
      </c>
      <c r="C24" s="2" t="s">
        <v>67</v>
      </c>
      <c r="D24" s="2" t="s">
        <v>99</v>
      </c>
    </row>
    <row r="26" spans="1:4" x14ac:dyDescent="0.3">
      <c r="A26" s="4" t="s">
        <v>69</v>
      </c>
      <c r="C26" s="2"/>
    </row>
    <row r="27" spans="1:4" x14ac:dyDescent="0.3">
      <c r="A27" s="5" t="s">
        <v>59</v>
      </c>
      <c r="B27" s="5" t="s">
        <v>1</v>
      </c>
      <c r="C27" s="2"/>
    </row>
    <row r="28" spans="1:4" x14ac:dyDescent="0.3">
      <c r="A28" s="23">
        <v>3041029</v>
      </c>
      <c r="B28" s="3" t="s">
        <v>3</v>
      </c>
      <c r="C28" s="2" t="s">
        <v>70</v>
      </c>
    </row>
    <row r="30" spans="1:4" x14ac:dyDescent="0.3">
      <c r="A30" s="4" t="s">
        <v>71</v>
      </c>
      <c r="C30" s="2"/>
    </row>
    <row r="31" spans="1:4" x14ac:dyDescent="0.3">
      <c r="A31" s="5" t="s">
        <v>59</v>
      </c>
      <c r="B31" s="5" t="s">
        <v>1</v>
      </c>
      <c r="C31" s="2"/>
      <c r="D31" s="2" t="s">
        <v>99</v>
      </c>
    </row>
    <row r="32" spans="1:4" x14ac:dyDescent="0.3">
      <c r="A32" s="23">
        <v>3052621</v>
      </c>
      <c r="B32" s="3" t="s">
        <v>3</v>
      </c>
      <c r="C32" s="2" t="s">
        <v>72</v>
      </c>
    </row>
    <row r="34" spans="1:4" x14ac:dyDescent="0.3">
      <c r="A34" s="4" t="s">
        <v>73</v>
      </c>
      <c r="C34" s="2"/>
    </row>
    <row r="35" spans="1:4" x14ac:dyDescent="0.3">
      <c r="A35" s="5" t="s">
        <v>59</v>
      </c>
      <c r="B35" s="5" t="s">
        <v>1</v>
      </c>
      <c r="C35" s="2"/>
    </row>
    <row r="36" spans="1:4" x14ac:dyDescent="0.3">
      <c r="A36" s="23" t="s">
        <v>76</v>
      </c>
      <c r="B36" s="3" t="s">
        <v>3</v>
      </c>
      <c r="C36" s="2" t="s">
        <v>74</v>
      </c>
      <c r="D36" s="2" t="s">
        <v>79</v>
      </c>
    </row>
    <row r="38" spans="1:4" x14ac:dyDescent="0.3">
      <c r="A38" s="4" t="s">
        <v>75</v>
      </c>
      <c r="C38" s="2"/>
    </row>
    <row r="39" spans="1:4" x14ac:dyDescent="0.3">
      <c r="A39" s="5" t="s">
        <v>59</v>
      </c>
      <c r="B39" s="5" t="s">
        <v>1</v>
      </c>
      <c r="C39" s="2"/>
    </row>
    <row r="40" spans="1:4" x14ac:dyDescent="0.3">
      <c r="A40" s="23" t="s">
        <v>77</v>
      </c>
      <c r="B40" s="3" t="s">
        <v>3</v>
      </c>
      <c r="C40" s="2" t="s">
        <v>78</v>
      </c>
    </row>
    <row r="42" spans="1:4" x14ac:dyDescent="0.3">
      <c r="A42" s="4" t="s">
        <v>80</v>
      </c>
    </row>
    <row r="43" spans="1:4" x14ac:dyDescent="0.3">
      <c r="A43" s="5" t="s">
        <v>59</v>
      </c>
      <c r="B43" s="5" t="s">
        <v>1</v>
      </c>
    </row>
    <row r="44" spans="1:4" x14ac:dyDescent="0.3">
      <c r="A44" s="23">
        <v>3054287</v>
      </c>
      <c r="B44" s="3" t="s">
        <v>3</v>
      </c>
      <c r="C44" t="s">
        <v>89</v>
      </c>
    </row>
    <row r="46" spans="1:4" x14ac:dyDescent="0.3">
      <c r="A46" s="4" t="s">
        <v>81</v>
      </c>
    </row>
    <row r="47" spans="1:4" x14ac:dyDescent="0.3">
      <c r="A47" s="5" t="s">
        <v>59</v>
      </c>
      <c r="B47" s="5" t="s">
        <v>1</v>
      </c>
    </row>
    <row r="48" spans="1:4" x14ac:dyDescent="0.3">
      <c r="A48" s="23">
        <v>3040471</v>
      </c>
      <c r="B48" s="3" t="s">
        <v>3</v>
      </c>
      <c r="C48" t="s">
        <v>82</v>
      </c>
    </row>
    <row r="50" spans="1:3" x14ac:dyDescent="0.3">
      <c r="A50" s="4" t="s">
        <v>84</v>
      </c>
    </row>
    <row r="51" spans="1:3" x14ac:dyDescent="0.3">
      <c r="A51" s="5" t="s">
        <v>59</v>
      </c>
      <c r="B51" s="5" t="s">
        <v>1</v>
      </c>
    </row>
    <row r="52" spans="1:3" x14ac:dyDescent="0.3">
      <c r="A52" s="23">
        <v>3040471</v>
      </c>
      <c r="B52" s="3" t="s">
        <v>3</v>
      </c>
      <c r="C52" s="2" t="s">
        <v>83</v>
      </c>
    </row>
    <row r="54" spans="1:3" x14ac:dyDescent="0.3">
      <c r="A54" s="4" t="s">
        <v>85</v>
      </c>
      <c r="C54" s="2"/>
    </row>
    <row r="55" spans="1:3" x14ac:dyDescent="0.3">
      <c r="A55" s="5" t="s">
        <v>59</v>
      </c>
      <c r="B55" s="5" t="s">
        <v>1</v>
      </c>
      <c r="C55" s="2"/>
    </row>
    <row r="56" spans="1:3" x14ac:dyDescent="0.3">
      <c r="A56" s="23" t="s">
        <v>86</v>
      </c>
      <c r="B56" s="3" t="s">
        <v>3</v>
      </c>
      <c r="C56" s="2" t="s">
        <v>74</v>
      </c>
    </row>
    <row r="58" spans="1:3" x14ac:dyDescent="0.3">
      <c r="A58" s="4" t="s">
        <v>87</v>
      </c>
      <c r="C58" s="2"/>
    </row>
    <row r="59" spans="1:3" x14ac:dyDescent="0.3">
      <c r="A59" s="5" t="s">
        <v>59</v>
      </c>
      <c r="B59" s="5" t="s">
        <v>1</v>
      </c>
      <c r="C59" s="2"/>
    </row>
    <row r="60" spans="1:3" x14ac:dyDescent="0.3">
      <c r="A60" s="23" t="s">
        <v>88</v>
      </c>
      <c r="B60" s="3" t="s">
        <v>3</v>
      </c>
      <c r="C60" s="2" t="s">
        <v>78</v>
      </c>
    </row>
    <row r="62" spans="1:3" x14ac:dyDescent="0.3">
      <c r="A62" s="4" t="s">
        <v>90</v>
      </c>
      <c r="C62" s="2"/>
    </row>
    <row r="63" spans="1:3" x14ac:dyDescent="0.3">
      <c r="A63" s="5" t="s">
        <v>59</v>
      </c>
      <c r="B63" s="5" t="s">
        <v>1</v>
      </c>
      <c r="C63" s="2"/>
    </row>
    <row r="64" spans="1:3" x14ac:dyDescent="0.3">
      <c r="A64" s="24">
        <v>3059339</v>
      </c>
      <c r="B64" s="3" t="s">
        <v>3</v>
      </c>
      <c r="C64" s="2" t="s">
        <v>107</v>
      </c>
    </row>
    <row r="66" spans="1:3" x14ac:dyDescent="0.3">
      <c r="A66" s="4" t="s">
        <v>91</v>
      </c>
      <c r="C66" s="2"/>
    </row>
    <row r="67" spans="1:3" x14ac:dyDescent="0.3">
      <c r="A67" s="5" t="s">
        <v>59</v>
      </c>
      <c r="B67" s="5" t="s">
        <v>1</v>
      </c>
      <c r="C67" s="2"/>
    </row>
    <row r="68" spans="1:3" x14ac:dyDescent="0.3">
      <c r="A68" s="23">
        <v>3039765</v>
      </c>
      <c r="B68" s="3" t="s">
        <v>3</v>
      </c>
      <c r="C68" s="2" t="s">
        <v>82</v>
      </c>
    </row>
    <row r="70" spans="1:3" x14ac:dyDescent="0.3">
      <c r="A70" s="4" t="s">
        <v>92</v>
      </c>
      <c r="C70" s="2"/>
    </row>
    <row r="71" spans="1:3" x14ac:dyDescent="0.3">
      <c r="A71" s="5" t="s">
        <v>59</v>
      </c>
      <c r="B71" s="5" t="s">
        <v>1</v>
      </c>
      <c r="C71" s="2"/>
    </row>
    <row r="72" spans="1:3" x14ac:dyDescent="0.3">
      <c r="A72" s="23" t="s">
        <v>93</v>
      </c>
      <c r="B72" s="3" t="s">
        <v>3</v>
      </c>
      <c r="C72" s="2" t="s">
        <v>74</v>
      </c>
    </row>
    <row r="74" spans="1:3" x14ac:dyDescent="0.3">
      <c r="A74" s="4" t="s">
        <v>94</v>
      </c>
      <c r="C74" s="2"/>
    </row>
    <row r="75" spans="1:3" x14ac:dyDescent="0.3">
      <c r="A75" s="5" t="s">
        <v>59</v>
      </c>
      <c r="B75" s="5" t="s">
        <v>1</v>
      </c>
      <c r="C75" s="2"/>
    </row>
    <row r="76" spans="1:3" x14ac:dyDescent="0.3">
      <c r="A76" s="23" t="s">
        <v>95</v>
      </c>
      <c r="B76" s="3" t="s">
        <v>3</v>
      </c>
      <c r="C76" s="2" t="s">
        <v>74</v>
      </c>
    </row>
    <row r="78" spans="1:3" x14ac:dyDescent="0.3">
      <c r="A78" s="4" t="s">
        <v>96</v>
      </c>
      <c r="C78" s="2"/>
    </row>
    <row r="79" spans="1:3" x14ac:dyDescent="0.3">
      <c r="A79" s="5" t="s">
        <v>59</v>
      </c>
      <c r="B79" s="5" t="s">
        <v>1</v>
      </c>
      <c r="C79" s="2"/>
    </row>
    <row r="80" spans="1:3" x14ac:dyDescent="0.3">
      <c r="A80" s="24">
        <v>3057331</v>
      </c>
      <c r="B80" s="3" t="s">
        <v>3</v>
      </c>
      <c r="C80" s="2" t="s">
        <v>89</v>
      </c>
    </row>
    <row r="82" spans="1:3" x14ac:dyDescent="0.3">
      <c r="A82" s="4" t="s">
        <v>98</v>
      </c>
      <c r="C82" s="2"/>
    </row>
    <row r="83" spans="1:3" x14ac:dyDescent="0.3">
      <c r="A83" s="5" t="s">
        <v>59</v>
      </c>
      <c r="B83" s="5" t="s">
        <v>1</v>
      </c>
      <c r="C83" s="2"/>
    </row>
    <row r="84" spans="1:3" x14ac:dyDescent="0.3">
      <c r="A84" s="23">
        <v>3059747</v>
      </c>
      <c r="B84" s="3" t="s">
        <v>3</v>
      </c>
      <c r="C84" s="2" t="s">
        <v>97</v>
      </c>
    </row>
    <row r="86" spans="1:3" x14ac:dyDescent="0.3">
      <c r="A86" s="4" t="s">
        <v>100</v>
      </c>
      <c r="C86" s="2"/>
    </row>
    <row r="87" spans="1:3" x14ac:dyDescent="0.3">
      <c r="A87" s="5" t="s">
        <v>59</v>
      </c>
      <c r="B87" s="5" t="s">
        <v>1</v>
      </c>
      <c r="C87" s="2"/>
    </row>
    <row r="88" spans="1:3" x14ac:dyDescent="0.3">
      <c r="A88" s="23">
        <v>3014413</v>
      </c>
      <c r="B88" s="3" t="s">
        <v>3</v>
      </c>
      <c r="C88" s="2" t="s">
        <v>104</v>
      </c>
    </row>
    <row r="90" spans="1:3" x14ac:dyDescent="0.3">
      <c r="A90" s="4" t="s">
        <v>101</v>
      </c>
      <c r="C90" s="2"/>
    </row>
    <row r="91" spans="1:3" x14ac:dyDescent="0.3">
      <c r="A91" s="5" t="s">
        <v>59</v>
      </c>
      <c r="B91" s="5" t="s">
        <v>1</v>
      </c>
      <c r="C91" s="2"/>
    </row>
    <row r="92" spans="1:3" x14ac:dyDescent="0.3">
      <c r="A92" s="23" t="s">
        <v>108</v>
      </c>
      <c r="B92" s="3" t="s">
        <v>3</v>
      </c>
      <c r="C92" s="2" t="s">
        <v>105</v>
      </c>
    </row>
    <row r="93" spans="1:3" x14ac:dyDescent="0.3">
      <c r="A93" s="2"/>
      <c r="C93" s="2"/>
    </row>
    <row r="94" spans="1:3" x14ac:dyDescent="0.3">
      <c r="A94" s="4" t="s">
        <v>102</v>
      </c>
      <c r="C94" s="2"/>
    </row>
    <row r="95" spans="1:3" x14ac:dyDescent="0.3">
      <c r="A95" s="5" t="s">
        <v>59</v>
      </c>
      <c r="B95" s="5" t="s">
        <v>1</v>
      </c>
      <c r="C95" s="2"/>
    </row>
    <row r="96" spans="1:3" x14ac:dyDescent="0.3">
      <c r="A96" s="23" t="s">
        <v>109</v>
      </c>
      <c r="B96" s="3" t="s">
        <v>3</v>
      </c>
      <c r="C96" s="2" t="s">
        <v>106</v>
      </c>
    </row>
    <row r="97" spans="1:3" x14ac:dyDescent="0.3">
      <c r="A97" s="2"/>
      <c r="C97" s="2"/>
    </row>
    <row r="98" spans="1:3" x14ac:dyDescent="0.3">
      <c r="A98" s="4" t="s">
        <v>103</v>
      </c>
      <c r="C98" s="2"/>
    </row>
    <row r="99" spans="1:3" x14ac:dyDescent="0.3">
      <c r="A99" s="5" t="s">
        <v>59</v>
      </c>
      <c r="B99" s="5" t="s">
        <v>1</v>
      </c>
      <c r="C99" s="2"/>
    </row>
    <row r="100" spans="1:3" x14ac:dyDescent="0.3">
      <c r="A100" s="24">
        <v>3050624</v>
      </c>
      <c r="B100" s="3" t="s">
        <v>3</v>
      </c>
      <c r="C100" s="2" t="s">
        <v>89</v>
      </c>
    </row>
  </sheetData>
  <dataConsolidate/>
  <mergeCells count="1">
    <mergeCell ref="A1: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M25"/>
  <sheetViews>
    <sheetView topLeftCell="A14" workbookViewId="0">
      <selection activeCell="F43" sqref="F43"/>
    </sheetView>
  </sheetViews>
  <sheetFormatPr defaultRowHeight="14.4" x14ac:dyDescent="0.3"/>
  <cols>
    <col min="1" max="2" width="9.109375" style="2" collapsed="1"/>
    <col min="3" max="3" width="19.44140625" customWidth="1" collapsed="1"/>
    <col min="4" max="4" width="26.109375" customWidth="1" collapsed="1"/>
    <col min="5" max="5" width="19.33203125" customWidth="1"/>
    <col min="6" max="6" width="23.88671875" customWidth="1"/>
    <col min="8" max="8" width="20" customWidth="1"/>
    <col min="9" max="9" width="16.44140625" customWidth="1"/>
    <col min="11" max="11" width="17.44140625" customWidth="1"/>
    <col min="12" max="12" width="19.33203125" customWidth="1"/>
    <col min="13" max="13" width="21.109375" customWidth="1"/>
  </cols>
  <sheetData>
    <row r="3" spans="3:13" x14ac:dyDescent="0.25">
      <c r="C3" s="2"/>
      <c r="D3" s="2"/>
      <c r="E3" s="2"/>
      <c r="F3" s="2"/>
    </row>
    <row r="4" spans="3:13" x14ac:dyDescent="0.25">
      <c r="C4" s="2"/>
      <c r="D4" s="2"/>
      <c r="E4" s="2"/>
      <c r="F4" s="2"/>
    </row>
    <row r="5" spans="3:13" x14ac:dyDescent="0.25">
      <c r="C5" s="2"/>
      <c r="D5" s="2"/>
      <c r="E5" s="2"/>
      <c r="F5" s="2"/>
    </row>
    <row r="6" spans="3:13" x14ac:dyDescent="0.25">
      <c r="C6" s="2"/>
      <c r="D6" s="2"/>
      <c r="E6" s="2"/>
      <c r="F6" s="2"/>
    </row>
    <row r="7" spans="3:13" x14ac:dyDescent="0.25">
      <c r="C7" s="2"/>
      <c r="D7" s="2"/>
      <c r="E7" s="2"/>
      <c r="F7" s="2"/>
      <c r="K7" s="6" t="s">
        <v>26</v>
      </c>
      <c r="L7" s="7" t="s">
        <v>27</v>
      </c>
      <c r="M7" s="7" t="s">
        <v>28</v>
      </c>
    </row>
    <row r="8" spans="3:13" x14ac:dyDescent="0.25">
      <c r="C8" s="2"/>
      <c r="D8" s="2"/>
      <c r="E8" s="2"/>
      <c r="F8" s="2"/>
      <c r="K8" s="1">
        <v>11</v>
      </c>
      <c r="L8" s="1" t="s">
        <v>31</v>
      </c>
      <c r="M8" s="1">
        <v>49</v>
      </c>
    </row>
    <row r="9" spans="3:13" x14ac:dyDescent="0.25">
      <c r="K9" s="1" t="s">
        <v>29</v>
      </c>
      <c r="L9" s="1" t="s">
        <v>32</v>
      </c>
      <c r="M9" s="1" t="s">
        <v>34</v>
      </c>
    </row>
    <row r="10" spans="3:13" x14ac:dyDescent="0.25">
      <c r="K10" s="1" t="s">
        <v>30</v>
      </c>
      <c r="L10" s="1" t="s">
        <v>33</v>
      </c>
      <c r="M10" s="1" t="s">
        <v>35</v>
      </c>
    </row>
    <row r="11" spans="3:13" x14ac:dyDescent="0.25">
      <c r="C11" s="8" t="s">
        <v>22</v>
      </c>
      <c r="D11" s="8" t="s">
        <v>36</v>
      </c>
      <c r="E11" s="8" t="s">
        <v>37</v>
      </c>
      <c r="F11" s="10" t="s">
        <v>1</v>
      </c>
      <c r="K11" s="1"/>
      <c r="L11" s="1"/>
      <c r="M11" s="1"/>
    </row>
    <row r="12" spans="3:13" x14ac:dyDescent="0.25">
      <c r="C12" s="9" t="s">
        <v>25</v>
      </c>
      <c r="D12" s="1"/>
      <c r="E12" s="1"/>
      <c r="F12" s="1" t="s">
        <v>3</v>
      </c>
      <c r="K12" s="1"/>
      <c r="L12" s="1"/>
      <c r="M12" s="1"/>
    </row>
    <row r="13" spans="3:13" s="2" customFormat="1" x14ac:dyDescent="0.25">
      <c r="K13" s="1"/>
      <c r="L13" s="1"/>
      <c r="M13" s="1"/>
    </row>
    <row r="14" spans="3:13" x14ac:dyDescent="0.25">
      <c r="C14" s="5" t="s">
        <v>4</v>
      </c>
      <c r="D14" s="5" t="s">
        <v>23</v>
      </c>
      <c r="E14" s="5" t="s">
        <v>24</v>
      </c>
      <c r="F14" s="5" t="s">
        <v>1</v>
      </c>
      <c r="K14" s="1"/>
      <c r="L14" s="1"/>
      <c r="M14" s="1"/>
    </row>
    <row r="15" spans="3:13" x14ac:dyDescent="0.25">
      <c r="C15" s="1" t="s">
        <v>26</v>
      </c>
      <c r="D15" s="3">
        <v>11</v>
      </c>
      <c r="E15" s="1" t="s">
        <v>38</v>
      </c>
      <c r="F15" s="1" t="s">
        <v>21</v>
      </c>
    </row>
    <row r="16" spans="3:13" x14ac:dyDescent="0.25">
      <c r="C16" s="1" t="s">
        <v>28</v>
      </c>
      <c r="D16" s="3" t="s">
        <v>39</v>
      </c>
      <c r="E16" s="1" t="s">
        <v>38</v>
      </c>
      <c r="F16" s="1" t="s">
        <v>3</v>
      </c>
    </row>
    <row r="17" spans="3:6" x14ac:dyDescent="0.25">
      <c r="C17" s="1" t="s">
        <v>26</v>
      </c>
      <c r="D17" s="3">
        <v>11</v>
      </c>
      <c r="E17" s="1" t="s">
        <v>38</v>
      </c>
      <c r="F17" s="1" t="s">
        <v>21</v>
      </c>
    </row>
    <row r="18" spans="3:6" x14ac:dyDescent="0.25">
      <c r="C18" s="1" t="s">
        <v>26</v>
      </c>
      <c r="D18" s="3">
        <v>11</v>
      </c>
      <c r="E18" s="1" t="s">
        <v>38</v>
      </c>
      <c r="F18" s="1" t="s">
        <v>21</v>
      </c>
    </row>
    <row r="19" spans="3:6" x14ac:dyDescent="0.25">
      <c r="C19" s="1" t="s">
        <v>26</v>
      </c>
      <c r="D19" s="3">
        <v>11</v>
      </c>
      <c r="E19" s="1" t="s">
        <v>38</v>
      </c>
      <c r="F19" s="1" t="s">
        <v>21</v>
      </c>
    </row>
    <row r="20" spans="3:6" x14ac:dyDescent="0.25">
      <c r="C20" s="1" t="s">
        <v>26</v>
      </c>
      <c r="D20" s="3">
        <v>11</v>
      </c>
      <c r="E20" s="1" t="s">
        <v>38</v>
      </c>
      <c r="F20" s="1" t="s">
        <v>21</v>
      </c>
    </row>
    <row r="21" spans="3:6" x14ac:dyDescent="0.25">
      <c r="C21" s="1" t="s">
        <v>26</v>
      </c>
      <c r="D21" s="3">
        <v>11</v>
      </c>
      <c r="E21" s="1" t="s">
        <v>38</v>
      </c>
      <c r="F21" s="1" t="s">
        <v>21</v>
      </c>
    </row>
    <row r="22" spans="3:6" x14ac:dyDescent="0.25">
      <c r="C22" s="1" t="s">
        <v>26</v>
      </c>
      <c r="D22" s="3">
        <v>11</v>
      </c>
      <c r="E22" s="1" t="s">
        <v>38</v>
      </c>
      <c r="F22" s="1" t="s">
        <v>21</v>
      </c>
    </row>
    <row r="23" spans="3:6" x14ac:dyDescent="0.25">
      <c r="C23" s="1" t="s">
        <v>26</v>
      </c>
      <c r="D23" s="3">
        <v>11</v>
      </c>
      <c r="E23" s="1" t="s">
        <v>38</v>
      </c>
      <c r="F23" s="1" t="s">
        <v>21</v>
      </c>
    </row>
    <row r="24" spans="3:6" x14ac:dyDescent="0.25">
      <c r="C24" s="1" t="s">
        <v>26</v>
      </c>
      <c r="D24" s="3">
        <v>11</v>
      </c>
      <c r="E24" s="1" t="s">
        <v>38</v>
      </c>
      <c r="F24" s="1" t="s">
        <v>21</v>
      </c>
    </row>
    <row r="25" spans="3:6" x14ac:dyDescent="0.25">
      <c r="C25" s="1" t="s">
        <v>26</v>
      </c>
      <c r="D25" s="3">
        <v>11</v>
      </c>
      <c r="E25" s="1" t="s">
        <v>38</v>
      </c>
      <c r="F25" s="1" t="s">
        <v>21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25">
      <formula1>"Internet Explorer,Firefox,Chrome,Safari,Opera"</formula1>
    </dataValidation>
    <dataValidation type="list" allowBlank="1" showInputMessage="1" showErrorMessage="1" sqref="D15:D25">
      <formula1>IF($C$15=$K$7,Internetexplorerversions,IF($C$15=$L$7,chromeversions,IF($C$15=$M$7,firefoxversions,NA)))</formula1>
    </dataValidation>
    <dataValidation type="list" allowBlank="1" showInputMessage="1" showErrorMessage="1" sqref="E15:E25">
      <formula1>"Windows,Linux,MacOs"</formula1>
    </dataValidation>
    <dataValidation type="list" showInputMessage="1" showErrorMessage="1" sqref="F12 F15:F25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DB_CONFIG</vt:lpstr>
      <vt:lpstr>InputData</vt:lpstr>
      <vt:lpstr>Browser_Configuration</vt:lpstr>
      <vt:lpstr>Browser_Configuration!chromeversions</vt:lpstr>
      <vt:lpstr>DBConect_Enrollment</vt:lpstr>
      <vt:lpstr>DBConnect_RiskAndAssistance</vt:lpstr>
      <vt:lpstr>Browser_Configuration!firefoxversions</vt:lpstr>
      <vt:lpstr>Browser_Configuration!getBrowserDetails</vt:lpstr>
      <vt:lpstr>Browser_Configuration!getExecutionPlatform</vt:lpstr>
      <vt:lpstr>Internetexplorerversions</vt:lpstr>
      <vt:lpstr>InputData!login</vt:lpstr>
      <vt:lpstr>NA</vt:lpstr>
      <vt:lpstr>TC_255814</vt:lpstr>
      <vt:lpstr>TC_255817</vt:lpstr>
      <vt:lpstr>TC_255876</vt:lpstr>
      <vt:lpstr>TC_255876_1</vt:lpstr>
      <vt:lpstr>TC_255876_2</vt:lpstr>
      <vt:lpstr>TC_255876_3</vt:lpstr>
      <vt:lpstr>TC_255877</vt:lpstr>
      <vt:lpstr>TC_255877_1</vt:lpstr>
      <vt:lpstr>TC_255877_2</vt:lpstr>
      <vt:lpstr>TC_255877_3</vt:lpstr>
      <vt:lpstr>TC_255878</vt:lpstr>
      <vt:lpstr>TC_255879</vt:lpstr>
      <vt:lpstr>TC_255880</vt:lpstr>
      <vt:lpstr>TC_255885</vt:lpstr>
      <vt:lpstr>TC_255885_1</vt:lpstr>
      <vt:lpstr>TC_255885_2</vt:lpstr>
      <vt:lpstr>TC_255885_3</vt:lpstr>
      <vt:lpstr>TC_255891</vt:lpstr>
      <vt:lpstr>TC_255892</vt:lpstr>
      <vt:lpstr>TC_94824</vt:lpstr>
      <vt:lpstr>TC_94896</vt:lpstr>
      <vt:lpstr>TC_94896_1</vt:lpstr>
      <vt:lpstr>TC_94896_2</vt:lpstr>
      <vt:lpstr>TC_94896_3</vt:lpstr>
      <vt:lpstr>TestExecution_Details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Mahajan, Vinayak</cp:lastModifiedBy>
  <dcterms:created xsi:type="dcterms:W3CDTF">2014-08-22T07:10:15Z</dcterms:created>
  <dcterms:modified xsi:type="dcterms:W3CDTF">2018-08-24T17:05:36Z</dcterms:modified>
</cp:coreProperties>
</file>